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ssa\OneDrive\Desktop\haymani\documents\2019 plan\"/>
    </mc:Choice>
  </mc:AlternateContent>
  <xr:revisionPtr revIDLastSave="0" documentId="13_ncr:1_{DD34A607-E1B3-40AA-B4CA-6F932DA23FB1}" xr6:coauthVersionLast="47" xr6:coauthVersionMax="47" xr10:uidLastSave="{00000000-0000-0000-0000-000000000000}"/>
  <bookViews>
    <workbookView xWindow="-108" yWindow="-108" windowWidth="23256" windowHeight="13176" firstSheet="6" activeTab="11" xr2:uid="{00000000-000D-0000-FFFF-FFFF00000000}"/>
  </bookViews>
  <sheets>
    <sheet name="Dashboard" sheetId="1" r:id="rId1"/>
    <sheet name="Personal Savings" sheetId="2" r:id="rId2"/>
    <sheet name="Haymani Profit" sheetId="3" r:id="rId3"/>
    <sheet name="Sales Pipeline" sheetId="4" r:id="rId4"/>
    <sheet name="Quotation Tracker" sheetId="5" r:id="rId5"/>
    <sheet name="Project Profitability" sheetId="6" r:id="rId6"/>
    <sheet name="Receivables" sheetId="7" r:id="rId7"/>
    <sheet name="Expenses" sheetId="8" r:id="rId8"/>
    <sheet name="Production Board" sheetId="9" r:id="rId9"/>
    <sheet name="Content Tracker" sheetId="10" r:id="rId10"/>
    <sheet name="Weekly Scorecard" sheetId="11" r:id="rId11"/>
    <sheet name="Daily Top 3" sheetId="12" r:id="rId12"/>
    <sheet name="Skill Development" sheetId="13" r:id="rId13"/>
    <sheet name="People &amp; Delegation" sheetId="14" r:id="rId14"/>
    <sheet name="Body &amp; Fitness" sheetId="15" r:id="rId15"/>
  </sheets>
  <calcPr calcId="191029"/>
</workbook>
</file>

<file path=xl/calcChain.xml><?xml version="1.0" encoding="utf-8"?>
<calcChain xmlns="http://schemas.openxmlformats.org/spreadsheetml/2006/main">
  <c r="F13" i="3" l="1"/>
  <c r="G13" i="3" s="1"/>
  <c r="D13" i="3"/>
  <c r="F12" i="3"/>
  <c r="G12" i="3" s="1"/>
  <c r="D12" i="3"/>
  <c r="F11" i="3"/>
  <c r="G11" i="3" s="1"/>
  <c r="D11" i="3"/>
  <c r="F10" i="3"/>
  <c r="G10" i="3" s="1"/>
  <c r="D10" i="3"/>
  <c r="F9" i="3"/>
  <c r="G9" i="3" s="1"/>
  <c r="D9" i="3"/>
  <c r="G8" i="3"/>
  <c r="F8" i="3"/>
  <c r="D8" i="3"/>
  <c r="F7" i="3"/>
  <c r="G7" i="3" s="1"/>
  <c r="D7" i="3"/>
  <c r="G6" i="3"/>
  <c r="F6" i="3"/>
  <c r="D6" i="3"/>
  <c r="F5" i="3"/>
  <c r="G5" i="3" s="1"/>
  <c r="D5" i="3"/>
  <c r="F4" i="3"/>
  <c r="G4" i="3" s="1"/>
  <c r="D4" i="3"/>
  <c r="F3" i="3"/>
  <c r="G3" i="3" s="1"/>
  <c r="D3" i="3"/>
  <c r="F2" i="3"/>
  <c r="G2" i="3" s="1"/>
  <c r="D2" i="3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<sst xmlns="http://schemas.openxmlformats.org/spreadsheetml/2006/main" count="261" uniqueCount="199">
  <si>
    <t>Area</t>
  </si>
  <si>
    <t>Target / Standard</t>
  </si>
  <si>
    <t>Actual</t>
  </si>
  <si>
    <t>Status</t>
  </si>
  <si>
    <t>Next Action</t>
  </si>
  <si>
    <t>Owner</t>
  </si>
  <si>
    <t>Personal Savings</t>
  </si>
  <si>
    <t>1,500,000 birr</t>
  </si>
  <si>
    <t>Samuel</t>
  </si>
  <si>
    <t>Haymani Net Profit</t>
  </si>
  <si>
    <t>2,500,000 birr</t>
  </si>
  <si>
    <t>Body</t>
  </si>
  <si>
    <t>52 → 65 kg</t>
  </si>
  <si>
    <t>Marketing/Sales Skill</t>
  </si>
  <si>
    <t>Daily development + weekly practice</t>
  </si>
  <si>
    <t>Communication</t>
  </si>
  <si>
    <t>Weekly deliberate practice</t>
  </si>
  <si>
    <t>Management</t>
  </si>
  <si>
    <t>Delegation + leadership practice</t>
  </si>
  <si>
    <t>Samuel Creates</t>
  </si>
  <si>
    <t>3 major posts/week</t>
  </si>
  <si>
    <t>Mirror</t>
  </si>
  <si>
    <t>Validate + profitable sales</t>
  </si>
  <si>
    <t>Telegram Automation</t>
  </si>
  <si>
    <t>Validate + paying customer</t>
  </si>
  <si>
    <t>Family/Life</t>
  </si>
  <si>
    <t>Weekly intentional time</t>
  </si>
  <si>
    <t>Month</t>
  </si>
  <si>
    <t>New Savings Target</t>
  </si>
  <si>
    <t>Cumulative Target</t>
  </si>
  <si>
    <t>Actual New Savings</t>
  </si>
  <si>
    <t>Actual Cumulative</t>
  </si>
  <si>
    <t>Gap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</si>
  <si>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</si>
  <si>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</si>
  <si>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</si>
  <si>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</si>
  <si>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</si>
  <si>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</si>
  <si>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</si>
  <si>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</si>
  <si>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</si>
  <si>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</si>
  <si>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</si>
  <si>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</si>
  <si>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Profit Target</t>
  </si>
  <si>
    <t>Actual Profit</t>
  </si>
  <si>
    <t>Variance</t>
  </si>
  <si>
    <t>YTD Target</t>
  </si>
  <si>
    <t>YTD Actual</t>
  </si>
  <si>
    <t>YTD Variance</t>
  </si>
  <si>
    <t>Date</t>
  </si>
  <si>
    <t>Customer</t>
  </si>
  <si>
    <t>Segment</t>
  </si>
  <si>
    <t>Project</t>
  </si>
  <si>
    <t>Stage</t>
  </si>
  <si>
    <t>Quote Value</t>
  </si>
  <si>
    <t>Expected Profit</t>
  </si>
  <si>
    <t>Follow-up Date</t>
  </si>
  <si>
    <t>Result</t>
  </si>
  <si>
    <t>Source</t>
  </si>
  <si>
    <t>Quote No.</t>
  </si>
  <si>
    <t>Selling Price</t>
  </si>
  <si>
    <t>Material Cost</t>
  </si>
  <si>
    <t>Labor</t>
  </si>
  <si>
    <t>Transport</t>
  </si>
  <si>
    <t>Installation</t>
  </si>
  <si>
    <t>Other Direct Cost</t>
  </si>
  <si>
    <t>Expected Gross Profit</t>
  </si>
  <si>
    <t>Follow-up</t>
  </si>
  <si>
    <t>Reason Lost / Won</t>
  </si>
  <si>
    <t>Actual Materials</t>
  </si>
  <si>
    <t>Other Direct</t>
  </si>
  <si>
    <t>Gross Profit</t>
  </si>
  <si>
    <t>Operating Allocation</t>
  </si>
  <si>
    <t>Net Profit</t>
  </si>
  <si>
    <t>Production Hours</t>
  </si>
  <si>
    <t>Profit/Hour</t>
  </si>
  <si>
    <t>Rework Cost</t>
  </si>
  <si>
    <t>Waste Cost</t>
  </si>
  <si>
    <t>Payment Collected</t>
  </si>
  <si>
    <t>Balance</t>
  </si>
  <si>
    <t>Total Price</t>
  </si>
  <si>
    <t>Paid</t>
  </si>
  <si>
    <t>Due Date</t>
  </si>
  <si>
    <t>Next Follow-up</t>
  </si>
  <si>
    <t>Notes</t>
  </si>
  <si>
    <t>Category</t>
  </si>
  <si>
    <t>Description</t>
  </si>
  <si>
    <t>Project/General</t>
  </si>
  <si>
    <t>Amount</t>
  </si>
  <si>
    <t>Payment Method</t>
  </si>
  <si>
    <t>Approved By</t>
  </si>
  <si>
    <t>Deadline</t>
  </si>
  <si>
    <t>Internal Deadline</t>
  </si>
  <si>
    <t>Material Ready</t>
  </si>
  <si>
    <t>QC</t>
  </si>
  <si>
    <t>Delay?</t>
  </si>
  <si>
    <t>Problem</t>
  </si>
  <si>
    <t>Platform</t>
  </si>
  <si>
    <t>Pillar</t>
  </si>
  <si>
    <t>Topic/Hook</t>
  </si>
  <si>
    <t>Format</t>
  </si>
  <si>
    <t>Posted?</t>
  </si>
  <si>
    <t>Views</t>
  </si>
  <si>
    <t>Engagement</t>
  </si>
  <si>
    <t>DMs/Leads</t>
  </si>
  <si>
    <t>Sales</t>
  </si>
  <si>
    <t>Week</t>
  </si>
  <si>
    <t>Prospects Target</t>
  </si>
  <si>
    <t>Prospects Actual</t>
  </si>
  <si>
    <t>Conversations Target</t>
  </si>
  <si>
    <t>Quotes Target</t>
  </si>
  <si>
    <t>Follow-ups Target</t>
  </si>
  <si>
    <t>Meetings Target</t>
  </si>
  <si>
    <t>Posts Target</t>
  </si>
  <si>
    <t>Gym Target</t>
  </si>
  <si>
    <t>Review Done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</si>
  <si>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</si>
  <si>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</si>
  <si>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</si>
  <si>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</si>
  <si>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</si>
  <si>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</si>
  <si>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</si>
  <si>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</si>
  <si>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</si>
  <si>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</si>
  <si>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</si>
  <si>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</si>
  <si>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</si>
  <si>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</si>
  <si>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</si>
  <si>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</si>
  <si>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</si>
  <si>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</si>
  <si>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</si>
  <si>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</si>
  <si>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</si>
  <si>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</si>
  <si>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</si>
  <si>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</si>
  <si>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</si>
  <si>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</si>
  <si>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</si>
  <si>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</si>
  <si>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</si>
  <si>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</si>
  <si>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</si>
  <si>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</si>
  <si>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</si>
  <si>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</si>
  <si>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</si>
  <si>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</si>
  <si>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</si>
  <si>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</si>
  <si>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</si>
  <si>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</si>
  <si>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</si>
  <si>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</si>
  <si>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</si>
  <si>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</si>
  <si>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</si>
  <si>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</si>
  <si>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</si>
  <si>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</si>
  <si>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</si>
  <si>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</si>
  <si>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</si>
  <si>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</si>
  <si>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Revenue Task</t>
  </si>
  <si>
    <t>Business Task</t>
  </si>
  <si>
    <t>Personal Task</t>
  </si>
  <si>
    <t>Body Task</t>
  </si>
  <si>
    <t>Relationship Task</t>
  </si>
  <si>
    <t>Completed?</t>
  </si>
  <si>
    <t>Skill</t>
  </si>
  <si>
    <t>Learn Minutes</t>
  </si>
  <si>
    <t>Practice Minutes</t>
  </si>
  <si>
    <t>Apply/Real World Minutes</t>
  </si>
  <si>
    <t>What I Learned</t>
  </si>
  <si>
    <t>What I Practiced</t>
  </si>
  <si>
    <t>Result / Evidence</t>
  </si>
  <si>
    <t>Employee/Role</t>
  </si>
  <si>
    <t>Responsibility</t>
  </si>
  <si>
    <t>KPI</t>
  </si>
  <si>
    <t>Current Skill (0-4)</t>
  </si>
  <si>
    <t>Backup</t>
  </si>
  <si>
    <t>Delegated Task</t>
  </si>
  <si>
    <t>Training Needed</t>
  </si>
  <si>
    <t>Feedback Date</t>
  </si>
  <si>
    <t>Weight kg</t>
  </si>
  <si>
    <t>Gym?</t>
  </si>
  <si>
    <t>Workout</t>
  </si>
  <si>
    <t>Meals/Protein</t>
  </si>
  <si>
    <t>Sleep Hours</t>
  </si>
  <si>
    <t>Energy</t>
  </si>
  <si>
    <t>biniyam door partition</t>
  </si>
  <si>
    <t>berhan sisay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</si>
</sst>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4" customWidth="1"/>
    <col min="3" max="3" width="18" customWidth="1"/>
    <col min="4" max="4" width="14" customWidth="1"/>
    <col min="5" max="5" width="42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/>
      <c r="D2" s="2"/>
      <c r="E2" s="2"/>
      <c r="F2" s="2" t="s">
        <v>8</v>
      </c>
    </row>
    <row r="3" spans="1:6" x14ac:dyDescent="0.3">
      <c r="A3" s="2" t="s">
        <v>9</v>
      </c>
      <c r="B3" s="2" t="s">
        <v>10</v>
      </c>
      <c r="C3" s="2"/>
      <c r="D3" s="2"/>
      <c r="E3" s="2"/>
      <c r="F3" s="2" t="s">
        <v>8</v>
      </c>
    </row>
    <row r="4" spans="1:6" x14ac:dyDescent="0.3">
      <c r="A4" s="2" t="s">
        <v>11</v>
      </c>
      <c r="B4" s="2" t="s">
        <v>12</v>
      </c>
      <c r="C4" s="2"/>
      <c r="D4" s="2"/>
      <c r="E4" s="2"/>
      <c r="F4" s="2" t="s">
        <v>8</v>
      </c>
    </row>
    <row r="5" spans="1:6" x14ac:dyDescent="0.3">
      <c r="A5" s="2" t="s">
        <v>13</v>
      </c>
      <c r="B5" s="2" t="s">
        <v>14</v>
      </c>
      <c r="C5" s="2"/>
      <c r="D5" s="2"/>
      <c r="E5" s="2"/>
      <c r="F5" s="2" t="s">
        <v>8</v>
      </c>
    </row>
    <row r="6" spans="1:6" x14ac:dyDescent="0.3">
      <c r="A6" s="2" t="s">
        <v>15</v>
      </c>
      <c r="B6" s="2" t="s">
        <v>16</v>
      </c>
      <c r="C6" s="2"/>
      <c r="D6" s="2"/>
      <c r="E6" s="2"/>
      <c r="F6" s="2" t="s">
        <v>8</v>
      </c>
    </row>
    <row r="7" spans="1:6" x14ac:dyDescent="0.3">
      <c r="A7" s="2" t="s">
        <v>17</v>
      </c>
      <c r="B7" s="2" t="s">
        <v>18</v>
      </c>
      <c r="C7" s="2"/>
      <c r="D7" s="2"/>
      <c r="E7" s="2"/>
      <c r="F7" s="2" t="s">
        <v>8</v>
      </c>
    </row>
    <row r="8" spans="1:6" x14ac:dyDescent="0.3">
      <c r="A8" s="2" t="s">
        <v>19</v>
      </c>
      <c r="B8" s="2" t="s">
        <v>20</v>
      </c>
      <c r="C8" s="2"/>
      <c r="D8" s="2"/>
      <c r="E8" s="2"/>
      <c r="F8" s="2" t="s">
        <v>8</v>
      </c>
    </row>
    <row r="9" spans="1:6" x14ac:dyDescent="0.3">
      <c r="A9" s="2" t="s">
        <v>21</v>
      </c>
      <c r="B9" s="2" t="s">
        <v>22</v>
      </c>
      <c r="C9" s="2"/>
      <c r="D9" s="2"/>
      <c r="E9" s="2"/>
      <c r="F9" s="2" t="s">
        <v>8</v>
      </c>
    </row>
    <row r="10" spans="1:6" x14ac:dyDescent="0.3">
      <c r="A10" s="2" t="s">
        <v>23</v>
      </c>
      <c r="B10" s="2" t="s">
        <v>24</v>
      </c>
      <c r="C10" s="2"/>
      <c r="D10" s="2"/>
      <c r="E10" s="2"/>
      <c r="F10" s="2" t="s">
        <v>8</v>
      </c>
    </row>
    <row r="11" spans="1:6" x14ac:dyDescent="0.3">
      <c r="A11" s="2" t="s">
        <v>25</v>
      </c>
      <c r="B11" s="2" t="s">
        <v>26</v>
      </c>
      <c r="C11" s="2"/>
      <c r="D11" s="2"/>
      <c r="E11" s="2"/>
      <c r="F11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5" width="22" customWidth="1"/>
    <col min="6" max="6" width="16" customWidth="1"/>
    <col min="7" max="7" width="14" customWidth="1"/>
  </cols>
  <sheetData>
    <row r="1" spans="1:7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</v>
      </c>
    </row>
    <row r="2" spans="1:7" x14ac:dyDescent="0.3">
      <c r="A2" s="2" t="s">
        <v>33</v>
      </c>
      <c r="B2" s="3">
        <v>50000</v>
      </c>
      <c r="C2" s="3">
        <v>70000</v>
      </c>
      <c r="D2" s="3"/>
      <c r="E2" s="3"/>
      <c r="F2" s="3" t="str">
        <f t="shared" ref="F2:F13" si="0">IF(E2="","",E2-C2)</f>
        <v/>
      </c>
      <c r="G2" s="2"/>
    </row>
    <row r="3" spans="1:7" x14ac:dyDescent="0.3">
      <c r="A3" s="2" t="s">
        <v>34</v>
      </c>
      <c r="B3" s="3">
        <v>75000</v>
      </c>
      <c r="C3" s="3">
        <v>145000</v>
      </c>
      <c r="D3" s="3"/>
      <c r="E3" s="3"/>
      <c r="F3" s="3" t="str">
        <f t="shared" si="0"/>
        <v/>
      </c>
      <c r="G3" s="2"/>
    </row>
    <row r="4" spans="1:7" x14ac:dyDescent="0.3">
      <c r="A4" s="2" t="s">
        <v>35</v>
      </c>
      <c r="B4" s="3">
        <v>100000</v>
      </c>
      <c r="C4" s="3">
        <v>245000</v>
      </c>
      <c r="D4" s="3"/>
      <c r="E4" s="3"/>
      <c r="F4" s="3" t="str">
        <f t="shared" si="0"/>
        <v/>
      </c>
      <c r="G4" s="2"/>
    </row>
    <row r="5" spans="1:7" x14ac:dyDescent="0.3">
      <c r="A5" s="2" t="s">
        <v>36</v>
      </c>
      <c r="B5" s="3">
        <v>110000</v>
      </c>
      <c r="C5" s="3">
        <v>355000</v>
      </c>
      <c r="D5" s="3"/>
      <c r="E5" s="3"/>
      <c r="F5" s="3" t="str">
        <f t="shared" si="0"/>
        <v/>
      </c>
      <c r="G5" s="2"/>
    </row>
    <row r="6" spans="1:7" x14ac:dyDescent="0.3">
      <c r="A6" s="2" t="s">
        <v>37</v>
      </c>
      <c r="B6" s="3">
        <v>120000</v>
      </c>
      <c r="C6" s="3">
        <v>475000</v>
      </c>
      <c r="D6" s="3"/>
      <c r="E6" s="3"/>
      <c r="F6" s="3" t="str">
        <f t="shared" si="0"/>
        <v/>
      </c>
      <c r="G6" s="2"/>
    </row>
    <row r="7" spans="1:7" x14ac:dyDescent="0.3">
      <c r="A7" s="2" t="s">
        <v>38</v>
      </c>
      <c r="B7" s="3">
        <v>125000</v>
      </c>
      <c r="C7" s="3">
        <v>600000</v>
      </c>
      <c r="D7" s="3"/>
      <c r="E7" s="3"/>
      <c r="F7" s="3" t="str">
        <f t="shared" si="0"/>
        <v/>
      </c>
      <c r="G7" s="2"/>
    </row>
    <row r="8" spans="1:7" x14ac:dyDescent="0.3">
      <c r="A8" s="2" t="s">
        <v>39</v>
      </c>
      <c r="B8" s="3">
        <v>130000</v>
      </c>
      <c r="C8" s="3">
        <v>730000</v>
      </c>
      <c r="D8" s="3"/>
      <c r="E8" s="3"/>
      <c r="F8" s="3" t="str">
        <f t="shared" si="0"/>
        <v/>
      </c>
      <c r="G8" s="2"/>
    </row>
    <row r="9" spans="1:7" x14ac:dyDescent="0.3">
      <c r="A9" s="2" t="s">
        <v>40</v>
      </c>
      <c r="B9" s="3">
        <v>140000</v>
      </c>
      <c r="C9" s="3">
        <v>870000</v>
      </c>
      <c r="D9" s="3"/>
      <c r="E9" s="3"/>
      <c r="F9" s="3" t="str">
        <f t="shared" si="0"/>
        <v/>
      </c>
      <c r="G9" s="2"/>
    </row>
    <row r="10" spans="1:7" x14ac:dyDescent="0.3">
      <c r="A10" s="2" t="s">
        <v>41</v>
      </c>
      <c r="B10" s="3">
        <v>145000</v>
      </c>
      <c r="C10" s="3">
        <v>1015000</v>
      </c>
      <c r="D10" s="3"/>
      <c r="E10" s="3"/>
      <c r="F10" s="3" t="str">
        <f t="shared" si="0"/>
        <v/>
      </c>
      <c r="G10" s="2"/>
    </row>
    <row r="11" spans="1:7" x14ac:dyDescent="0.3">
      <c r="A11" s="2" t="s">
        <v>42</v>
      </c>
      <c r="B11" s="3">
        <v>150000</v>
      </c>
      <c r="C11" s="3">
        <v>1165000</v>
      </c>
      <c r="D11" s="3"/>
      <c r="E11" s="3"/>
      <c r="F11" s="3" t="str">
        <f t="shared" si="0"/>
        <v/>
      </c>
      <c r="G11" s="2"/>
    </row>
    <row r="12" spans="1:7" x14ac:dyDescent="0.3">
      <c r="A12" s="2" t="s">
        <v>43</v>
      </c>
      <c r="B12" s="3">
        <v>165000</v>
      </c>
      <c r="C12" s="3">
        <v>1330000</v>
      </c>
      <c r="D12" s="3"/>
      <c r="E12" s="3"/>
      <c r="F12" s="3" t="str">
        <f t="shared" si="0"/>
        <v/>
      </c>
      <c r="G12" s="2"/>
    </row>
    <row r="13" spans="1:7" x14ac:dyDescent="0.3">
      <c r="A13" s="2" t="s">
        <v>44</v>
      </c>
      <c r="B13" s="3">
        <v>170000</v>
      </c>
      <c r="C13" s="3">
        <v>1500000</v>
      </c>
      <c r="D13" s="3"/>
      <c r="E13" s="3"/>
      <c r="F13" s="3" t="str">
        <f t="shared" si="0"/>
        <v/>
      </c>
      <c r="G1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8" customWidth="1"/>
    <col min="4" max="4" width="16" customWidth="1"/>
    <col min="5" max="7" width="18" customWidth="1"/>
    <col min="8" max="8" width="14" customWidth="1"/>
  </cols>
  <sheetData>
    <row r="1" spans="1:8" x14ac:dyDescent="0.3">
      <c r="A1" s="1" t="s">
        <v>27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3</v>
      </c>
    </row>
    <row r="2" spans="1:8" x14ac:dyDescent="0.3">
      <c r="A2" s="2" t="s">
        <v>33</v>
      </c>
      <c r="B2" s="3">
        <v>75000</v>
      </c>
      <c r="C2" s="3"/>
      <c r="D2" s="3" t="str">
        <f t="shared" ref="D2:D13" si="0">IF(C2="","",C2-B2)</f>
        <v/>
      </c>
      <c r="E2" s="3">
        <v>75000</v>
      </c>
      <c r="F2" s="3" t="str">
        <f>IF(C2="","",SUM($C$2:C2))</f>
        <v/>
      </c>
      <c r="G2" s="3" t="str">
        <f t="shared" ref="G2:G13" si="1">IF(F2="","",F2-E2)</f>
        <v/>
      </c>
      <c r="H2" s="2"/>
    </row>
    <row r="3" spans="1:8" x14ac:dyDescent="0.3">
      <c r="A3" s="2" t="s">
        <v>34</v>
      </c>
      <c r="B3" s="3">
        <v>100000</v>
      </c>
      <c r="C3" s="3"/>
      <c r="D3" s="3" t="str">
        <f t="shared" si="0"/>
        <v/>
      </c>
      <c r="E3" s="3">
        <v>175000</v>
      </c>
      <c r="F3" s="3" t="str">
        <f>IF(C3="","",SUM($C$2:C3))</f>
        <v/>
      </c>
      <c r="G3" s="3" t="str">
        <f t="shared" si="1"/>
        <v/>
      </c>
      <c r="H3" s="2"/>
    </row>
    <row r="4" spans="1:8" x14ac:dyDescent="0.3">
      <c r="A4" s="2" t="s">
        <v>35</v>
      </c>
      <c r="B4" s="3">
        <v>125000</v>
      </c>
      <c r="C4" s="3"/>
      <c r="D4" s="3" t="str">
        <f t="shared" si="0"/>
        <v/>
      </c>
      <c r="E4" s="3">
        <v>300000</v>
      </c>
      <c r="F4" s="3" t="str">
        <f>IF(C4="","",SUM($C$2:C4))</f>
        <v/>
      </c>
      <c r="G4" s="3" t="str">
        <f t="shared" si="1"/>
        <v/>
      </c>
      <c r="H4" s="2"/>
    </row>
    <row r="5" spans="1:8" x14ac:dyDescent="0.3">
      <c r="A5" s="2" t="s">
        <v>36</v>
      </c>
      <c r="B5" s="3">
        <v>150000</v>
      </c>
      <c r="C5" s="3"/>
      <c r="D5" s="3" t="str">
        <f t="shared" si="0"/>
        <v/>
      </c>
      <c r="E5" s="3">
        <v>450000</v>
      </c>
      <c r="F5" s="3" t="str">
        <f>IF(C5="","",SUM($C$2:C5))</f>
        <v/>
      </c>
      <c r="G5" s="3" t="str">
        <f t="shared" si="1"/>
        <v/>
      </c>
      <c r="H5" s="2"/>
    </row>
    <row r="6" spans="1:8" x14ac:dyDescent="0.3">
      <c r="A6" s="2" t="s">
        <v>37</v>
      </c>
      <c r="B6" s="3">
        <v>180000</v>
      </c>
      <c r="C6" s="3"/>
      <c r="D6" s="3" t="str">
        <f t="shared" si="0"/>
        <v/>
      </c>
      <c r="E6" s="3">
        <v>630000</v>
      </c>
      <c r="F6" s="3" t="str">
        <f>IF(C6="","",SUM($C$2:C6))</f>
        <v/>
      </c>
      <c r="G6" s="3" t="str">
        <f t="shared" si="1"/>
        <v/>
      </c>
      <c r="H6" s="2"/>
    </row>
    <row r="7" spans="1:8" x14ac:dyDescent="0.3">
      <c r="A7" s="2" t="s">
        <v>38</v>
      </c>
      <c r="B7" s="3">
        <v>220000</v>
      </c>
      <c r="C7" s="3"/>
      <c r="D7" s="3" t="str">
        <f t="shared" si="0"/>
        <v/>
      </c>
      <c r="E7" s="3">
        <v>850000</v>
      </c>
      <c r="F7" s="3" t="str">
        <f>IF(C7="","",SUM($C$2:C7))</f>
        <v/>
      </c>
      <c r="G7" s="3" t="str">
        <f t="shared" si="1"/>
        <v/>
      </c>
      <c r="H7" s="2"/>
    </row>
    <row r="8" spans="1:8" x14ac:dyDescent="0.3">
      <c r="A8" s="2" t="s">
        <v>39</v>
      </c>
      <c r="B8" s="3">
        <v>230000</v>
      </c>
      <c r="C8" s="3"/>
      <c r="D8" s="3" t="str">
        <f t="shared" si="0"/>
        <v/>
      </c>
      <c r="E8" s="3">
        <v>1080000</v>
      </c>
      <c r="F8" s="3" t="str">
        <f>IF(C8="","",SUM($C$2:C8))</f>
        <v/>
      </c>
      <c r="G8" s="3" t="str">
        <f t="shared" si="1"/>
        <v/>
      </c>
      <c r="H8" s="2"/>
    </row>
    <row r="9" spans="1:8" x14ac:dyDescent="0.3">
      <c r="A9" s="2" t="s">
        <v>40</v>
      </c>
      <c r="B9" s="3">
        <v>250000</v>
      </c>
      <c r="C9" s="3"/>
      <c r="D9" s="3" t="str">
        <f t="shared" si="0"/>
        <v/>
      </c>
      <c r="E9" s="3">
        <v>1330000</v>
      </c>
      <c r="F9" s="3" t="str">
        <f>IF(C9="","",SUM($C$2:C9))</f>
        <v/>
      </c>
      <c r="G9" s="3" t="str">
        <f t="shared" si="1"/>
        <v/>
      </c>
      <c r="H9" s="2"/>
    </row>
    <row r="10" spans="1:8" x14ac:dyDescent="0.3">
      <c r="A10" s="2" t="s">
        <v>41</v>
      </c>
      <c r="B10" s="3">
        <v>270000</v>
      </c>
      <c r="C10" s="3"/>
      <c r="D10" s="3" t="str">
        <f t="shared" si="0"/>
        <v/>
      </c>
      <c r="E10" s="3">
        <v>1600000</v>
      </c>
      <c r="F10" s="3" t="str">
        <f>IF(C10="","",SUM($C$2:C10))</f>
        <v/>
      </c>
      <c r="G10" s="3" t="str">
        <f t="shared" si="1"/>
        <v/>
      </c>
      <c r="H10" s="2"/>
    </row>
    <row r="11" spans="1:8" x14ac:dyDescent="0.3">
      <c r="A11" s="2" t="s">
        <v>42</v>
      </c>
      <c r="B11" s="3">
        <v>280000</v>
      </c>
      <c r="C11" s="3"/>
      <c r="D11" s="3" t="str">
        <f t="shared" si="0"/>
        <v/>
      </c>
      <c r="E11" s="3">
        <v>1880000</v>
      </c>
      <c r="F11" s="3" t="str">
        <f>IF(C11="","",SUM($C$2:C11))</f>
        <v/>
      </c>
      <c r="G11" s="3" t="str">
        <f t="shared" si="1"/>
        <v/>
      </c>
      <c r="H11" s="2"/>
    </row>
    <row r="12" spans="1:8" x14ac:dyDescent="0.3">
      <c r="A12" s="2" t="s">
        <v>43</v>
      </c>
      <c r="B12" s="3">
        <v>300000</v>
      </c>
      <c r="C12" s="3"/>
      <c r="D12" s="3" t="str">
        <f t="shared" si="0"/>
        <v/>
      </c>
      <c r="E12" s="3">
        <v>2180000</v>
      </c>
      <c r="F12" s="3" t="str">
        <f>IF(C12="","",SUM($C$2:C12))</f>
        <v/>
      </c>
      <c r="G12" s="3" t="str">
        <f t="shared" si="1"/>
        <v/>
      </c>
      <c r="H12" s="2"/>
    </row>
    <row r="13" spans="1:8" x14ac:dyDescent="0.3">
      <c r="A13" s="2" t="s">
        <v>44</v>
      </c>
      <c r="B13" s="3">
        <v>320000</v>
      </c>
      <c r="C13" s="3"/>
      <c r="D13" s="3" t="str">
        <f t="shared" si="0"/>
        <v/>
      </c>
      <c r="E13" s="3">
        <v>2500000</v>
      </c>
      <c r="F13" s="3" t="str">
        <f>IF(C13="","",SUM($C$2:C13))</f>
        <v/>
      </c>
      <c r="G13" s="3" t="str">
        <f t="shared" si="1"/>
        <v/>
      </c>
      <c r="H13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0" customWidth="1"/>
    <col min="4" max="4" width="28" customWidth="1"/>
    <col min="5" max="5" width="20" customWidth="1"/>
    <col min="6" max="6" width="16" customWidth="1"/>
    <col min="7" max="7" width="18" customWidth="1"/>
    <col min="8" max="8" width="34" customWidth="1"/>
    <col min="9" max="11" width="16" customWidth="1"/>
    <col min="12" max="12" width="20" customWidth="1"/>
  </cols>
  <sheetData>
    <row r="1" spans="1:12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4</v>
      </c>
      <c r="I1" s="1" t="s">
        <v>58</v>
      </c>
      <c r="J1" s="1" t="s">
        <v>5</v>
      </c>
      <c r="K1" s="1" t="s">
        <v>59</v>
      </c>
      <c r="L1" s="1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28" customWidth="1"/>
    <col min="5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2" width="16" customWidth="1"/>
    <col min="13" max="13" width="18" customWidth="1"/>
    <col min="14" max="14" width="30" customWidth="1"/>
  </cols>
  <sheetData>
    <row r="1" spans="1:14" x14ac:dyDescent="0.3">
      <c r="A1" s="1" t="s">
        <v>61</v>
      </c>
      <c r="B1" s="1" t="s">
        <v>51</v>
      </c>
      <c r="C1" s="1" t="s">
        <v>52</v>
      </c>
      <c r="D1" s="1" t="s">
        <v>54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3</v>
      </c>
      <c r="M1" s="1" t="s">
        <v>69</v>
      </c>
      <c r="N1" s="1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24" customWidth="1"/>
    <col min="2" max="2" width="20" customWidth="1"/>
    <col min="3" max="3" width="16" customWidth="1"/>
    <col min="4" max="4" width="18" customWidth="1"/>
    <col min="5" max="6" width="14" customWidth="1"/>
    <col min="7" max="9" width="16" customWidth="1"/>
    <col min="10" max="10" width="20" customWidth="1"/>
    <col min="11" max="11" width="16" customWidth="1"/>
    <col min="12" max="12" width="18" customWidth="1"/>
    <col min="13" max="15" width="16" customWidth="1"/>
    <col min="16" max="16" width="18" customWidth="1"/>
    <col min="17" max="17" width="16" customWidth="1"/>
  </cols>
  <sheetData>
    <row r="1" spans="1:17" x14ac:dyDescent="0.3">
      <c r="A1" s="1" t="s">
        <v>54</v>
      </c>
      <c r="B1" s="1" t="s">
        <v>52</v>
      </c>
      <c r="C1" s="1" t="s">
        <v>62</v>
      </c>
      <c r="D1" s="1" t="s">
        <v>71</v>
      </c>
      <c r="E1" s="1" t="s">
        <v>64</v>
      </c>
      <c r="F1" s="1" t="s">
        <v>65</v>
      </c>
      <c r="G1" s="1" t="s">
        <v>66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</row>
    <row r="2" spans="1:17" x14ac:dyDescent="0.3">
      <c r="A2" t="s">
        <v>197</v>
      </c>
      <c r="B2" t="s">
        <v>198</v>
      </c>
      <c r="C2">
        <v>84000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8" customWidth="1"/>
    <col min="3" max="6" width="16" customWidth="1"/>
    <col min="7" max="7" width="20" customWidth="1"/>
    <col min="8" max="8" width="14" customWidth="1"/>
    <col min="9" max="9" width="35" customWidth="1"/>
  </cols>
  <sheetData>
    <row r="1" spans="1:9" x14ac:dyDescent="0.3">
      <c r="A1" s="1" t="s">
        <v>52</v>
      </c>
      <c r="B1" s="1" t="s">
        <v>54</v>
      </c>
      <c r="C1" s="1" t="s">
        <v>82</v>
      </c>
      <c r="D1" s="1" t="s">
        <v>83</v>
      </c>
      <c r="E1" s="1" t="s">
        <v>81</v>
      </c>
      <c r="F1" s="1" t="s">
        <v>84</v>
      </c>
      <c r="G1" s="1" t="s">
        <v>85</v>
      </c>
      <c r="H1" s="1" t="s">
        <v>3</v>
      </c>
      <c r="I1" s="1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35" customWidth="1"/>
    <col min="4" max="4" width="20" customWidth="1"/>
    <col min="5" max="5" width="16" customWidth="1"/>
    <col min="6" max="7" width="18" customWidth="1"/>
    <col min="8" max="8" width="35" customWidth="1"/>
  </cols>
  <sheetData>
    <row r="1" spans="1:8" x14ac:dyDescent="0.3">
      <c r="A1" s="1" t="s">
        <v>51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2" customWidth="1"/>
    <col min="3" max="4" width="18" customWidth="1"/>
    <col min="5" max="5" width="16" customWidth="1"/>
    <col min="6" max="7" width="18" customWidth="1"/>
    <col min="8" max="8" width="14" customWidth="1"/>
    <col min="9" max="9" width="12" customWidth="1"/>
    <col min="10" max="11" width="35" customWidth="1"/>
  </cols>
  <sheetData>
    <row r="1" spans="1:11" x14ac:dyDescent="0.3">
      <c r="A1" s="1" t="s">
        <v>54</v>
      </c>
      <c r="B1" s="1" t="s">
        <v>52</v>
      </c>
      <c r="C1" s="1" t="s">
        <v>55</v>
      </c>
      <c r="D1" s="1" t="s">
        <v>5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38" customWidth="1"/>
    <col min="5" max="5" width="16" customWidth="1"/>
    <col min="6" max="6" width="12" customWidth="1"/>
    <col min="7" max="7" width="14" customWidth="1"/>
    <col min="8" max="10" width="16" customWidth="1"/>
    <col min="11" max="11" width="35" customWidth="1"/>
  </cols>
  <sheetData>
    <row r="1" spans="1:11" x14ac:dyDescent="0.3">
      <c r="A1" s="1" t="s">
        <v>51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8" customWidth="1"/>
    <col min="4" max="4" width="22" customWidth="1"/>
    <col min="5" max="5" width="14" customWidth="1"/>
    <col min="6" max="6" width="16" customWidth="1"/>
    <col min="7" max="7" width="14" customWidth="1"/>
    <col min="8" max="8" width="20" customWidth="1"/>
    <col min="9" max="9" width="14" customWidth="1"/>
    <col min="10" max="10" width="18" customWidth="1"/>
    <col min="11" max="11" width="14" customWidth="1"/>
    <col min="12" max="12" width="16" customWidth="1"/>
    <col min="13" max="13" width="14" customWidth="1"/>
    <col min="14" max="14" width="16" customWidth="1"/>
    <col min="15" max="15" width="14" customWidth="1"/>
    <col min="16" max="16" width="16" customWidth="1"/>
  </cols>
  <sheetData>
    <row r="1" spans="1:16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2</v>
      </c>
      <c r="F1" s="1" t="s">
        <v>112</v>
      </c>
      <c r="G1" s="1" t="s">
        <v>2</v>
      </c>
      <c r="H1" s="1" t="s">
        <v>113</v>
      </c>
      <c r="I1" s="1" t="s">
        <v>2</v>
      </c>
      <c r="J1" s="1" t="s">
        <v>114</v>
      </c>
      <c r="K1" s="1" t="s">
        <v>2</v>
      </c>
      <c r="L1" s="1" t="s">
        <v>115</v>
      </c>
      <c r="M1" s="1" t="s">
        <v>2</v>
      </c>
      <c r="N1" s="1" t="s">
        <v>116</v>
      </c>
      <c r="O1" s="1" t="s">
        <v>2</v>
      </c>
      <c r="P1" s="1" t="s">
        <v>117</v>
      </c>
    </row>
    <row r="2" spans="1:16" x14ac:dyDescent="0.3">
      <c r="A2" s="2" t="s">
        <v>118</v>
      </c>
      <c r="B2" s="2">
        <v>50</v>
      </c>
      <c r="C2" s="2"/>
      <c r="D2" s="2">
        <v>20</v>
      </c>
      <c r="E2" s="2"/>
      <c r="F2" s="2">
        <v>10</v>
      </c>
      <c r="G2" s="2"/>
      <c r="H2" s="2">
        <v>5</v>
      </c>
      <c r="I2" s="2"/>
      <c r="J2" s="2">
        <v>1</v>
      </c>
      <c r="K2" s="2"/>
      <c r="L2" s="2">
        <v>3</v>
      </c>
      <c r="M2" s="2"/>
      <c r="N2" s="2">
        <v>4</v>
      </c>
      <c r="O2" s="2"/>
      <c r="P2" s="2"/>
    </row>
    <row r="3" spans="1:16" x14ac:dyDescent="0.3">
      <c r="A3" s="2" t="s">
        <v>119</v>
      </c>
      <c r="B3" s="2">
        <v>50</v>
      </c>
      <c r="C3" s="2"/>
      <c r="D3" s="2">
        <v>20</v>
      </c>
      <c r="E3" s="2"/>
      <c r="F3" s="2">
        <v>10</v>
      </c>
      <c r="G3" s="2"/>
      <c r="H3" s="2">
        <v>5</v>
      </c>
      <c r="I3" s="2"/>
      <c r="J3" s="2">
        <v>1</v>
      </c>
      <c r="K3" s="2"/>
      <c r="L3" s="2">
        <v>3</v>
      </c>
      <c r="M3" s="2"/>
      <c r="N3" s="2">
        <v>4</v>
      </c>
      <c r="O3" s="2"/>
      <c r="P3" s="2"/>
    </row>
    <row r="4" spans="1:16" x14ac:dyDescent="0.3">
      <c r="A4" s="2" t="s">
        <v>120</v>
      </c>
      <c r="B4" s="2">
        <v>50</v>
      </c>
      <c r="C4" s="2"/>
      <c r="D4" s="2">
        <v>20</v>
      </c>
      <c r="E4" s="2"/>
      <c r="F4" s="2">
        <v>10</v>
      </c>
      <c r="G4" s="2"/>
      <c r="H4" s="2">
        <v>5</v>
      </c>
      <c r="I4" s="2"/>
      <c r="J4" s="2">
        <v>1</v>
      </c>
      <c r="K4" s="2"/>
      <c r="L4" s="2">
        <v>3</v>
      </c>
      <c r="M4" s="2"/>
      <c r="N4" s="2">
        <v>4</v>
      </c>
      <c r="O4" s="2"/>
      <c r="P4" s="2"/>
    </row>
    <row r="5" spans="1:16" x14ac:dyDescent="0.3">
      <c r="A5" s="2" t="s">
        <v>121</v>
      </c>
      <c r="B5" s="2">
        <v>50</v>
      </c>
      <c r="C5" s="2"/>
      <c r="D5" s="2">
        <v>20</v>
      </c>
      <c r="E5" s="2"/>
      <c r="F5" s="2">
        <v>10</v>
      </c>
      <c r="G5" s="2"/>
      <c r="H5" s="2">
        <v>5</v>
      </c>
      <c r="I5" s="2"/>
      <c r="J5" s="2">
        <v>1</v>
      </c>
      <c r="K5" s="2"/>
      <c r="L5" s="2">
        <v>3</v>
      </c>
      <c r="M5" s="2"/>
      <c r="N5" s="2">
        <v>4</v>
      </c>
      <c r="O5" s="2"/>
      <c r="P5" s="2"/>
    </row>
    <row r="6" spans="1:16" x14ac:dyDescent="0.3">
      <c r="A6" s="2" t="s">
        <v>122</v>
      </c>
      <c r="B6" s="2">
        <v>50</v>
      </c>
      <c r="C6" s="2"/>
      <c r="D6" s="2">
        <v>20</v>
      </c>
      <c r="E6" s="2"/>
      <c r="F6" s="2">
        <v>10</v>
      </c>
      <c r="G6" s="2"/>
      <c r="H6" s="2">
        <v>5</v>
      </c>
      <c r="I6" s="2"/>
      <c r="J6" s="2">
        <v>1</v>
      </c>
      <c r="K6" s="2"/>
      <c r="L6" s="2">
        <v>3</v>
      </c>
      <c r="M6" s="2"/>
      <c r="N6" s="2">
        <v>4</v>
      </c>
      <c r="O6" s="2"/>
      <c r="P6" s="2"/>
    </row>
    <row r="7" spans="1:16" x14ac:dyDescent="0.3">
      <c r="A7" s="2" t="s">
        <v>123</v>
      </c>
      <c r="B7" s="2">
        <v>50</v>
      </c>
      <c r="C7" s="2"/>
      <c r="D7" s="2">
        <v>20</v>
      </c>
      <c r="E7" s="2"/>
      <c r="F7" s="2">
        <v>10</v>
      </c>
      <c r="G7" s="2"/>
      <c r="H7" s="2">
        <v>5</v>
      </c>
      <c r="I7" s="2"/>
      <c r="J7" s="2">
        <v>1</v>
      </c>
      <c r="K7" s="2"/>
      <c r="L7" s="2">
        <v>3</v>
      </c>
      <c r="M7" s="2"/>
      <c r="N7" s="2">
        <v>4</v>
      </c>
      <c r="O7" s="2"/>
      <c r="P7" s="2"/>
    </row>
    <row r="8" spans="1:16" x14ac:dyDescent="0.3">
      <c r="A8" s="2" t="s">
        <v>124</v>
      </c>
      <c r="B8" s="2">
        <v>50</v>
      </c>
      <c r="C8" s="2"/>
      <c r="D8" s="2">
        <v>20</v>
      </c>
      <c r="E8" s="2"/>
      <c r="F8" s="2">
        <v>10</v>
      </c>
      <c r="G8" s="2"/>
      <c r="H8" s="2">
        <v>5</v>
      </c>
      <c r="I8" s="2"/>
      <c r="J8" s="2">
        <v>1</v>
      </c>
      <c r="K8" s="2"/>
      <c r="L8" s="2">
        <v>3</v>
      </c>
      <c r="M8" s="2"/>
      <c r="N8" s="2">
        <v>4</v>
      </c>
      <c r="O8" s="2"/>
      <c r="P8" s="2"/>
    </row>
    <row r="9" spans="1:16" x14ac:dyDescent="0.3">
      <c r="A9" s="2" t="s">
        <v>125</v>
      </c>
      <c r="B9" s="2">
        <v>50</v>
      </c>
      <c r="C9" s="2"/>
      <c r="D9" s="2">
        <v>20</v>
      </c>
      <c r="E9" s="2"/>
      <c r="F9" s="2">
        <v>10</v>
      </c>
      <c r="G9" s="2"/>
      <c r="H9" s="2">
        <v>5</v>
      </c>
      <c r="I9" s="2"/>
      <c r="J9" s="2">
        <v>1</v>
      </c>
      <c r="K9" s="2"/>
      <c r="L9" s="2">
        <v>3</v>
      </c>
      <c r="M9" s="2"/>
      <c r="N9" s="2">
        <v>4</v>
      </c>
      <c r="O9" s="2"/>
      <c r="P9" s="2"/>
    </row>
    <row r="10" spans="1:16" x14ac:dyDescent="0.3">
      <c r="A10" s="2" t="s">
        <v>126</v>
      </c>
      <c r="B10" s="2">
        <v>50</v>
      </c>
      <c r="C10" s="2"/>
      <c r="D10" s="2">
        <v>20</v>
      </c>
      <c r="E10" s="2"/>
      <c r="F10" s="2">
        <v>10</v>
      </c>
      <c r="G10" s="2"/>
      <c r="H10" s="2">
        <v>5</v>
      </c>
      <c r="I10" s="2"/>
      <c r="J10" s="2">
        <v>1</v>
      </c>
      <c r="K10" s="2"/>
      <c r="L10" s="2">
        <v>3</v>
      </c>
      <c r="M10" s="2"/>
      <c r="N10" s="2">
        <v>4</v>
      </c>
      <c r="O10" s="2"/>
      <c r="P10" s="2"/>
    </row>
    <row r="11" spans="1:16" x14ac:dyDescent="0.3">
      <c r="A11" s="2" t="s">
        <v>127</v>
      </c>
      <c r="B11" s="2">
        <v>50</v>
      </c>
      <c r="C11" s="2"/>
      <c r="D11" s="2">
        <v>20</v>
      </c>
      <c r="E11" s="2"/>
      <c r="F11" s="2">
        <v>10</v>
      </c>
      <c r="G11" s="2"/>
      <c r="H11" s="2">
        <v>5</v>
      </c>
      <c r="I11" s="2"/>
      <c r="J11" s="2">
        <v>1</v>
      </c>
      <c r="K11" s="2"/>
      <c r="L11" s="2">
        <v>3</v>
      </c>
      <c r="M11" s="2"/>
      <c r="N11" s="2">
        <v>4</v>
      </c>
      <c r="O11" s="2"/>
      <c r="P11" s="2"/>
    </row>
    <row r="12" spans="1:16" x14ac:dyDescent="0.3">
      <c r="A12" s="2" t="s">
        <v>128</v>
      </c>
      <c r="B12" s="2">
        <v>50</v>
      </c>
      <c r="C12" s="2"/>
      <c r="D12" s="2">
        <v>20</v>
      </c>
      <c r="E12" s="2"/>
      <c r="F12" s="2">
        <v>10</v>
      </c>
      <c r="G12" s="2"/>
      <c r="H12" s="2">
        <v>5</v>
      </c>
      <c r="I12" s="2"/>
      <c r="J12" s="2">
        <v>1</v>
      </c>
      <c r="K12" s="2"/>
      <c r="L12" s="2">
        <v>3</v>
      </c>
      <c r="M12" s="2"/>
      <c r="N12" s="2">
        <v>4</v>
      </c>
      <c r="O12" s="2"/>
      <c r="P12" s="2"/>
    </row>
    <row r="13" spans="1:16" x14ac:dyDescent="0.3">
      <c r="A13" s="2" t="s">
        <v>129</v>
      </c>
      <c r="B13" s="2">
        <v>50</v>
      </c>
      <c r="C13" s="2"/>
      <c r="D13" s="2">
        <v>20</v>
      </c>
      <c r="E13" s="2"/>
      <c r="F13" s="2">
        <v>10</v>
      </c>
      <c r="G13" s="2"/>
      <c r="H13" s="2">
        <v>5</v>
      </c>
      <c r="I13" s="2"/>
      <c r="J13" s="2">
        <v>1</v>
      </c>
      <c r="K13" s="2"/>
      <c r="L13" s="2">
        <v>3</v>
      </c>
      <c r="M13" s="2"/>
      <c r="N13" s="2">
        <v>4</v>
      </c>
      <c r="O13" s="2"/>
      <c r="P13" s="2"/>
    </row>
    <row r="14" spans="1:16" x14ac:dyDescent="0.3">
      <c r="A14" s="2" t="s">
        <v>130</v>
      </c>
      <c r="B14" s="2">
        <v>50</v>
      </c>
      <c r="C14" s="2"/>
      <c r="D14" s="2">
        <v>20</v>
      </c>
      <c r="E14" s="2"/>
      <c r="F14" s="2">
        <v>10</v>
      </c>
      <c r="G14" s="2"/>
      <c r="H14" s="2">
        <v>5</v>
      </c>
      <c r="I14" s="2"/>
      <c r="J14" s="2">
        <v>1</v>
      </c>
      <c r="K14" s="2"/>
      <c r="L14" s="2">
        <v>3</v>
      </c>
      <c r="M14" s="2"/>
      <c r="N14" s="2">
        <v>4</v>
      </c>
      <c r="O14" s="2"/>
      <c r="P14" s="2"/>
    </row>
    <row r="15" spans="1:16" x14ac:dyDescent="0.3">
      <c r="A15" s="2" t="s">
        <v>131</v>
      </c>
      <c r="B15" s="2">
        <v>50</v>
      </c>
      <c r="C15" s="2"/>
      <c r="D15" s="2">
        <v>20</v>
      </c>
      <c r="E15" s="2"/>
      <c r="F15" s="2">
        <v>10</v>
      </c>
      <c r="G15" s="2"/>
      <c r="H15" s="2">
        <v>5</v>
      </c>
      <c r="I15" s="2"/>
      <c r="J15" s="2">
        <v>1</v>
      </c>
      <c r="K15" s="2"/>
      <c r="L15" s="2">
        <v>3</v>
      </c>
      <c r="M15" s="2"/>
      <c r="N15" s="2">
        <v>4</v>
      </c>
      <c r="O15" s="2"/>
      <c r="P15" s="2"/>
    </row>
    <row r="16" spans="1:16" x14ac:dyDescent="0.3">
      <c r="A16" s="2" t="s">
        <v>132</v>
      </c>
      <c r="B16" s="2">
        <v>50</v>
      </c>
      <c r="C16" s="2"/>
      <c r="D16" s="2">
        <v>20</v>
      </c>
      <c r="E16" s="2"/>
      <c r="F16" s="2">
        <v>10</v>
      </c>
      <c r="G16" s="2"/>
      <c r="H16" s="2">
        <v>5</v>
      </c>
      <c r="I16" s="2"/>
      <c r="J16" s="2">
        <v>1</v>
      </c>
      <c r="K16" s="2"/>
      <c r="L16" s="2">
        <v>3</v>
      </c>
      <c r="M16" s="2"/>
      <c r="N16" s="2">
        <v>4</v>
      </c>
      <c r="O16" s="2"/>
      <c r="P16" s="2"/>
    </row>
    <row r="17" spans="1:16" x14ac:dyDescent="0.3">
      <c r="A17" s="2" t="s">
        <v>133</v>
      </c>
      <c r="B17" s="2">
        <v>50</v>
      </c>
      <c r="C17" s="2"/>
      <c r="D17" s="2">
        <v>20</v>
      </c>
      <c r="E17" s="2"/>
      <c r="F17" s="2">
        <v>10</v>
      </c>
      <c r="G17" s="2"/>
      <c r="H17" s="2">
        <v>5</v>
      </c>
      <c r="I17" s="2"/>
      <c r="J17" s="2">
        <v>1</v>
      </c>
      <c r="K17" s="2"/>
      <c r="L17" s="2">
        <v>3</v>
      </c>
      <c r="M17" s="2"/>
      <c r="N17" s="2">
        <v>4</v>
      </c>
      <c r="O17" s="2"/>
      <c r="P17" s="2"/>
    </row>
    <row r="18" spans="1:16" x14ac:dyDescent="0.3">
      <c r="A18" s="2" t="s">
        <v>134</v>
      </c>
      <c r="B18" s="2">
        <v>50</v>
      </c>
      <c r="C18" s="2"/>
      <c r="D18" s="2">
        <v>20</v>
      </c>
      <c r="E18" s="2"/>
      <c r="F18" s="2">
        <v>10</v>
      </c>
      <c r="G18" s="2"/>
      <c r="H18" s="2">
        <v>5</v>
      </c>
      <c r="I18" s="2"/>
      <c r="J18" s="2">
        <v>1</v>
      </c>
      <c r="K18" s="2"/>
      <c r="L18" s="2">
        <v>3</v>
      </c>
      <c r="M18" s="2"/>
      <c r="N18" s="2">
        <v>4</v>
      </c>
      <c r="O18" s="2"/>
      <c r="P18" s="2"/>
    </row>
    <row r="19" spans="1:16" x14ac:dyDescent="0.3">
      <c r="A19" s="2" t="s">
        <v>135</v>
      </c>
      <c r="B19" s="2">
        <v>50</v>
      </c>
      <c r="C19" s="2"/>
      <c r="D19" s="2">
        <v>20</v>
      </c>
      <c r="E19" s="2"/>
      <c r="F19" s="2">
        <v>10</v>
      </c>
      <c r="G19" s="2"/>
      <c r="H19" s="2">
        <v>5</v>
      </c>
      <c r="I19" s="2"/>
      <c r="J19" s="2">
        <v>1</v>
      </c>
      <c r="K19" s="2"/>
      <c r="L19" s="2">
        <v>3</v>
      </c>
      <c r="M19" s="2"/>
      <c r="N19" s="2">
        <v>4</v>
      </c>
      <c r="O19" s="2"/>
      <c r="P19" s="2"/>
    </row>
    <row r="20" spans="1:16" x14ac:dyDescent="0.3">
      <c r="A20" s="2" t="s">
        <v>136</v>
      </c>
      <c r="B20" s="2">
        <v>50</v>
      </c>
      <c r="C20" s="2"/>
      <c r="D20" s="2">
        <v>20</v>
      </c>
      <c r="E20" s="2"/>
      <c r="F20" s="2">
        <v>10</v>
      </c>
      <c r="G20" s="2"/>
      <c r="H20" s="2">
        <v>5</v>
      </c>
      <c r="I20" s="2"/>
      <c r="J20" s="2">
        <v>1</v>
      </c>
      <c r="K20" s="2"/>
      <c r="L20" s="2">
        <v>3</v>
      </c>
      <c r="M20" s="2"/>
      <c r="N20" s="2">
        <v>4</v>
      </c>
      <c r="O20" s="2"/>
      <c r="P20" s="2"/>
    </row>
    <row r="21" spans="1:16" x14ac:dyDescent="0.3">
      <c r="A21" s="2" t="s">
        <v>137</v>
      </c>
      <c r="B21" s="2">
        <v>50</v>
      </c>
      <c r="C21" s="2"/>
      <c r="D21" s="2">
        <v>20</v>
      </c>
      <c r="E21" s="2"/>
      <c r="F21" s="2">
        <v>10</v>
      </c>
      <c r="G21" s="2"/>
      <c r="H21" s="2">
        <v>5</v>
      </c>
      <c r="I21" s="2"/>
      <c r="J21" s="2">
        <v>1</v>
      </c>
      <c r="K21" s="2"/>
      <c r="L21" s="2">
        <v>3</v>
      </c>
      <c r="M21" s="2"/>
      <c r="N21" s="2">
        <v>4</v>
      </c>
      <c r="O21" s="2"/>
      <c r="P21" s="2"/>
    </row>
    <row r="22" spans="1:16" x14ac:dyDescent="0.3">
      <c r="A22" s="2" t="s">
        <v>138</v>
      </c>
      <c r="B22" s="2">
        <v>50</v>
      </c>
      <c r="C22" s="2"/>
      <c r="D22" s="2">
        <v>20</v>
      </c>
      <c r="E22" s="2"/>
      <c r="F22" s="2">
        <v>10</v>
      </c>
      <c r="G22" s="2"/>
      <c r="H22" s="2">
        <v>5</v>
      </c>
      <c r="I22" s="2"/>
      <c r="J22" s="2">
        <v>1</v>
      </c>
      <c r="K22" s="2"/>
      <c r="L22" s="2">
        <v>3</v>
      </c>
      <c r="M22" s="2"/>
      <c r="N22" s="2">
        <v>4</v>
      </c>
      <c r="O22" s="2"/>
      <c r="P22" s="2"/>
    </row>
    <row r="23" spans="1:16" x14ac:dyDescent="0.3">
      <c r="A23" s="2" t="s">
        <v>139</v>
      </c>
      <c r="B23" s="2">
        <v>50</v>
      </c>
      <c r="C23" s="2"/>
      <c r="D23" s="2">
        <v>20</v>
      </c>
      <c r="E23" s="2"/>
      <c r="F23" s="2">
        <v>10</v>
      </c>
      <c r="G23" s="2"/>
      <c r="H23" s="2">
        <v>5</v>
      </c>
      <c r="I23" s="2"/>
      <c r="J23" s="2">
        <v>1</v>
      </c>
      <c r="K23" s="2"/>
      <c r="L23" s="2">
        <v>3</v>
      </c>
      <c r="M23" s="2"/>
      <c r="N23" s="2">
        <v>4</v>
      </c>
      <c r="O23" s="2"/>
      <c r="P23" s="2"/>
    </row>
    <row r="24" spans="1:16" x14ac:dyDescent="0.3">
      <c r="A24" s="2" t="s">
        <v>140</v>
      </c>
      <c r="B24" s="2">
        <v>50</v>
      </c>
      <c r="C24" s="2"/>
      <c r="D24" s="2">
        <v>20</v>
      </c>
      <c r="E24" s="2"/>
      <c r="F24" s="2">
        <v>10</v>
      </c>
      <c r="G24" s="2"/>
      <c r="H24" s="2">
        <v>5</v>
      </c>
      <c r="I24" s="2"/>
      <c r="J24" s="2">
        <v>1</v>
      </c>
      <c r="K24" s="2"/>
      <c r="L24" s="2">
        <v>3</v>
      </c>
      <c r="M24" s="2"/>
      <c r="N24" s="2">
        <v>4</v>
      </c>
      <c r="O24" s="2"/>
      <c r="P24" s="2"/>
    </row>
    <row r="25" spans="1:16" x14ac:dyDescent="0.3">
      <c r="A25" s="2" t="s">
        <v>141</v>
      </c>
      <c r="B25" s="2">
        <v>50</v>
      </c>
      <c r="C25" s="2"/>
      <c r="D25" s="2">
        <v>20</v>
      </c>
      <c r="E25" s="2"/>
      <c r="F25" s="2">
        <v>10</v>
      </c>
      <c r="G25" s="2"/>
      <c r="H25" s="2">
        <v>5</v>
      </c>
      <c r="I25" s="2"/>
      <c r="J25" s="2">
        <v>1</v>
      </c>
      <c r="K25" s="2"/>
      <c r="L25" s="2">
        <v>3</v>
      </c>
      <c r="M25" s="2"/>
      <c r="N25" s="2">
        <v>4</v>
      </c>
      <c r="O25" s="2"/>
      <c r="P25" s="2"/>
    </row>
    <row r="26" spans="1:16" x14ac:dyDescent="0.3">
      <c r="A26" s="2" t="s">
        <v>142</v>
      </c>
      <c r="B26" s="2">
        <v>50</v>
      </c>
      <c r="C26" s="2"/>
      <c r="D26" s="2">
        <v>20</v>
      </c>
      <c r="E26" s="2"/>
      <c r="F26" s="2">
        <v>10</v>
      </c>
      <c r="G26" s="2"/>
      <c r="H26" s="2">
        <v>5</v>
      </c>
      <c r="I26" s="2"/>
      <c r="J26" s="2">
        <v>1</v>
      </c>
      <c r="K26" s="2"/>
      <c r="L26" s="2">
        <v>3</v>
      </c>
      <c r="M26" s="2"/>
      <c r="N26" s="2">
        <v>4</v>
      </c>
      <c r="O26" s="2"/>
      <c r="P26" s="2"/>
    </row>
    <row r="27" spans="1:16" x14ac:dyDescent="0.3">
      <c r="A27" s="2" t="s">
        <v>143</v>
      </c>
      <c r="B27" s="2">
        <v>50</v>
      </c>
      <c r="C27" s="2"/>
      <c r="D27" s="2">
        <v>20</v>
      </c>
      <c r="E27" s="2"/>
      <c r="F27" s="2">
        <v>10</v>
      </c>
      <c r="G27" s="2"/>
      <c r="H27" s="2">
        <v>5</v>
      </c>
      <c r="I27" s="2"/>
      <c r="J27" s="2">
        <v>1</v>
      </c>
      <c r="K27" s="2"/>
      <c r="L27" s="2">
        <v>3</v>
      </c>
      <c r="M27" s="2"/>
      <c r="N27" s="2">
        <v>4</v>
      </c>
      <c r="O27" s="2"/>
      <c r="P27" s="2"/>
    </row>
    <row r="28" spans="1:16" x14ac:dyDescent="0.3">
      <c r="A28" s="2" t="s">
        <v>144</v>
      </c>
      <c r="B28" s="2">
        <v>50</v>
      </c>
      <c r="C28" s="2"/>
      <c r="D28" s="2">
        <v>20</v>
      </c>
      <c r="E28" s="2"/>
      <c r="F28" s="2">
        <v>10</v>
      </c>
      <c r="G28" s="2"/>
      <c r="H28" s="2">
        <v>5</v>
      </c>
      <c r="I28" s="2"/>
      <c r="J28" s="2">
        <v>1</v>
      </c>
      <c r="K28" s="2"/>
      <c r="L28" s="2">
        <v>3</v>
      </c>
      <c r="M28" s="2"/>
      <c r="N28" s="2">
        <v>4</v>
      </c>
      <c r="O28" s="2"/>
      <c r="P28" s="2"/>
    </row>
    <row r="29" spans="1:16" x14ac:dyDescent="0.3">
      <c r="A29" s="2" t="s">
        <v>145</v>
      </c>
      <c r="B29" s="2">
        <v>50</v>
      </c>
      <c r="C29" s="2"/>
      <c r="D29" s="2">
        <v>20</v>
      </c>
      <c r="E29" s="2"/>
      <c r="F29" s="2">
        <v>10</v>
      </c>
      <c r="G29" s="2"/>
      <c r="H29" s="2">
        <v>5</v>
      </c>
      <c r="I29" s="2"/>
      <c r="J29" s="2">
        <v>1</v>
      </c>
      <c r="K29" s="2"/>
      <c r="L29" s="2">
        <v>3</v>
      </c>
      <c r="M29" s="2"/>
      <c r="N29" s="2">
        <v>4</v>
      </c>
      <c r="O29" s="2"/>
      <c r="P29" s="2"/>
    </row>
    <row r="30" spans="1:16" x14ac:dyDescent="0.3">
      <c r="A30" s="2" t="s">
        <v>146</v>
      </c>
      <c r="B30" s="2">
        <v>50</v>
      </c>
      <c r="C30" s="2"/>
      <c r="D30" s="2">
        <v>20</v>
      </c>
      <c r="E30" s="2"/>
      <c r="F30" s="2">
        <v>10</v>
      </c>
      <c r="G30" s="2"/>
      <c r="H30" s="2">
        <v>5</v>
      </c>
      <c r="I30" s="2"/>
      <c r="J30" s="2">
        <v>1</v>
      </c>
      <c r="K30" s="2"/>
      <c r="L30" s="2">
        <v>3</v>
      </c>
      <c r="M30" s="2"/>
      <c r="N30" s="2">
        <v>4</v>
      </c>
      <c r="O30" s="2"/>
      <c r="P30" s="2"/>
    </row>
    <row r="31" spans="1:16" x14ac:dyDescent="0.3">
      <c r="A31" s="2" t="s">
        <v>147</v>
      </c>
      <c r="B31" s="2">
        <v>50</v>
      </c>
      <c r="C31" s="2"/>
      <c r="D31" s="2">
        <v>20</v>
      </c>
      <c r="E31" s="2"/>
      <c r="F31" s="2">
        <v>10</v>
      </c>
      <c r="G31" s="2"/>
      <c r="H31" s="2">
        <v>5</v>
      </c>
      <c r="I31" s="2"/>
      <c r="J31" s="2">
        <v>1</v>
      </c>
      <c r="K31" s="2"/>
      <c r="L31" s="2">
        <v>3</v>
      </c>
      <c r="M31" s="2"/>
      <c r="N31" s="2">
        <v>4</v>
      </c>
      <c r="O31" s="2"/>
      <c r="P31" s="2"/>
    </row>
    <row r="32" spans="1:16" x14ac:dyDescent="0.3">
      <c r="A32" s="2" t="s">
        <v>148</v>
      </c>
      <c r="B32" s="2">
        <v>50</v>
      </c>
      <c r="C32" s="2"/>
      <c r="D32" s="2">
        <v>20</v>
      </c>
      <c r="E32" s="2"/>
      <c r="F32" s="2">
        <v>10</v>
      </c>
      <c r="G32" s="2"/>
      <c r="H32" s="2">
        <v>5</v>
      </c>
      <c r="I32" s="2"/>
      <c r="J32" s="2">
        <v>1</v>
      </c>
      <c r="K32" s="2"/>
      <c r="L32" s="2">
        <v>3</v>
      </c>
      <c r="M32" s="2"/>
      <c r="N32" s="2">
        <v>4</v>
      </c>
      <c r="O32" s="2"/>
      <c r="P32" s="2"/>
    </row>
    <row r="33" spans="1:16" x14ac:dyDescent="0.3">
      <c r="A33" s="2" t="s">
        <v>149</v>
      </c>
      <c r="B33" s="2">
        <v>50</v>
      </c>
      <c r="C33" s="2"/>
      <c r="D33" s="2">
        <v>20</v>
      </c>
      <c r="E33" s="2"/>
      <c r="F33" s="2">
        <v>10</v>
      </c>
      <c r="G33" s="2"/>
      <c r="H33" s="2">
        <v>5</v>
      </c>
      <c r="I33" s="2"/>
      <c r="J33" s="2">
        <v>1</v>
      </c>
      <c r="K33" s="2"/>
      <c r="L33" s="2">
        <v>3</v>
      </c>
      <c r="M33" s="2"/>
      <c r="N33" s="2">
        <v>4</v>
      </c>
      <c r="O33" s="2"/>
      <c r="P33" s="2"/>
    </row>
    <row r="34" spans="1:16" x14ac:dyDescent="0.3">
      <c r="A34" s="2" t="s">
        <v>150</v>
      </c>
      <c r="B34" s="2">
        <v>50</v>
      </c>
      <c r="C34" s="2"/>
      <c r="D34" s="2">
        <v>20</v>
      </c>
      <c r="E34" s="2"/>
      <c r="F34" s="2">
        <v>10</v>
      </c>
      <c r="G34" s="2"/>
      <c r="H34" s="2">
        <v>5</v>
      </c>
      <c r="I34" s="2"/>
      <c r="J34" s="2">
        <v>1</v>
      </c>
      <c r="K34" s="2"/>
      <c r="L34" s="2">
        <v>3</v>
      </c>
      <c r="M34" s="2"/>
      <c r="N34" s="2">
        <v>4</v>
      </c>
      <c r="O34" s="2"/>
      <c r="P34" s="2"/>
    </row>
    <row r="35" spans="1:16" x14ac:dyDescent="0.3">
      <c r="A35" s="2" t="s">
        <v>151</v>
      </c>
      <c r="B35" s="2">
        <v>50</v>
      </c>
      <c r="C35" s="2"/>
      <c r="D35" s="2">
        <v>20</v>
      </c>
      <c r="E35" s="2"/>
      <c r="F35" s="2">
        <v>10</v>
      </c>
      <c r="G35" s="2"/>
      <c r="H35" s="2">
        <v>5</v>
      </c>
      <c r="I35" s="2"/>
      <c r="J35" s="2">
        <v>1</v>
      </c>
      <c r="K35" s="2"/>
      <c r="L35" s="2">
        <v>3</v>
      </c>
      <c r="M35" s="2"/>
      <c r="N35" s="2">
        <v>4</v>
      </c>
      <c r="O35" s="2"/>
      <c r="P35" s="2"/>
    </row>
    <row r="36" spans="1:16" x14ac:dyDescent="0.3">
      <c r="A36" s="2" t="s">
        <v>152</v>
      </c>
      <c r="B36" s="2">
        <v>50</v>
      </c>
      <c r="C36" s="2"/>
      <c r="D36" s="2">
        <v>20</v>
      </c>
      <c r="E36" s="2"/>
      <c r="F36" s="2">
        <v>10</v>
      </c>
      <c r="G36" s="2"/>
      <c r="H36" s="2">
        <v>5</v>
      </c>
      <c r="I36" s="2"/>
      <c r="J36" s="2">
        <v>1</v>
      </c>
      <c r="K36" s="2"/>
      <c r="L36" s="2">
        <v>3</v>
      </c>
      <c r="M36" s="2"/>
      <c r="N36" s="2">
        <v>4</v>
      </c>
      <c r="O36" s="2"/>
      <c r="P36" s="2"/>
    </row>
    <row r="37" spans="1:16" x14ac:dyDescent="0.3">
      <c r="A37" s="2" t="s">
        <v>153</v>
      </c>
      <c r="B37" s="2">
        <v>50</v>
      </c>
      <c r="C37" s="2"/>
      <c r="D37" s="2">
        <v>20</v>
      </c>
      <c r="E37" s="2"/>
      <c r="F37" s="2">
        <v>10</v>
      </c>
      <c r="G37" s="2"/>
      <c r="H37" s="2">
        <v>5</v>
      </c>
      <c r="I37" s="2"/>
      <c r="J37" s="2">
        <v>1</v>
      </c>
      <c r="K37" s="2"/>
      <c r="L37" s="2">
        <v>3</v>
      </c>
      <c r="M37" s="2"/>
      <c r="N37" s="2">
        <v>4</v>
      </c>
      <c r="O37" s="2"/>
      <c r="P37" s="2"/>
    </row>
    <row r="38" spans="1:16" x14ac:dyDescent="0.3">
      <c r="A38" s="2" t="s">
        <v>154</v>
      </c>
      <c r="B38" s="2">
        <v>50</v>
      </c>
      <c r="C38" s="2"/>
      <c r="D38" s="2">
        <v>20</v>
      </c>
      <c r="E38" s="2"/>
      <c r="F38" s="2">
        <v>10</v>
      </c>
      <c r="G38" s="2"/>
      <c r="H38" s="2">
        <v>5</v>
      </c>
      <c r="I38" s="2"/>
      <c r="J38" s="2">
        <v>1</v>
      </c>
      <c r="K38" s="2"/>
      <c r="L38" s="2">
        <v>3</v>
      </c>
      <c r="M38" s="2"/>
      <c r="N38" s="2">
        <v>4</v>
      </c>
      <c r="O38" s="2"/>
      <c r="P38" s="2"/>
    </row>
    <row r="39" spans="1:16" x14ac:dyDescent="0.3">
      <c r="A39" s="2" t="s">
        <v>155</v>
      </c>
      <c r="B39" s="2">
        <v>50</v>
      </c>
      <c r="C39" s="2"/>
      <c r="D39" s="2">
        <v>20</v>
      </c>
      <c r="E39" s="2"/>
      <c r="F39" s="2">
        <v>10</v>
      </c>
      <c r="G39" s="2"/>
      <c r="H39" s="2">
        <v>5</v>
      </c>
      <c r="I39" s="2"/>
      <c r="J39" s="2">
        <v>1</v>
      </c>
      <c r="K39" s="2"/>
      <c r="L39" s="2">
        <v>3</v>
      </c>
      <c r="M39" s="2"/>
      <c r="N39" s="2">
        <v>4</v>
      </c>
      <c r="O39" s="2"/>
      <c r="P39" s="2"/>
    </row>
    <row r="40" spans="1:16" x14ac:dyDescent="0.3">
      <c r="A40" s="2" t="s">
        <v>156</v>
      </c>
      <c r="B40" s="2">
        <v>50</v>
      </c>
      <c r="C40" s="2"/>
      <c r="D40" s="2">
        <v>20</v>
      </c>
      <c r="E40" s="2"/>
      <c r="F40" s="2">
        <v>10</v>
      </c>
      <c r="G40" s="2"/>
      <c r="H40" s="2">
        <v>5</v>
      </c>
      <c r="I40" s="2"/>
      <c r="J40" s="2">
        <v>1</v>
      </c>
      <c r="K40" s="2"/>
      <c r="L40" s="2">
        <v>3</v>
      </c>
      <c r="M40" s="2"/>
      <c r="N40" s="2">
        <v>4</v>
      </c>
      <c r="O40" s="2"/>
      <c r="P40" s="2"/>
    </row>
    <row r="41" spans="1:16" x14ac:dyDescent="0.3">
      <c r="A41" s="2" t="s">
        <v>157</v>
      </c>
      <c r="B41" s="2">
        <v>50</v>
      </c>
      <c r="C41" s="2"/>
      <c r="D41" s="2">
        <v>20</v>
      </c>
      <c r="E41" s="2"/>
      <c r="F41" s="2">
        <v>10</v>
      </c>
      <c r="G41" s="2"/>
      <c r="H41" s="2">
        <v>5</v>
      </c>
      <c r="I41" s="2"/>
      <c r="J41" s="2">
        <v>1</v>
      </c>
      <c r="K41" s="2"/>
      <c r="L41" s="2">
        <v>3</v>
      </c>
      <c r="M41" s="2"/>
      <c r="N41" s="2">
        <v>4</v>
      </c>
      <c r="O41" s="2"/>
      <c r="P41" s="2"/>
    </row>
    <row r="42" spans="1:16" x14ac:dyDescent="0.3">
      <c r="A42" s="2" t="s">
        <v>158</v>
      </c>
      <c r="B42" s="2">
        <v>50</v>
      </c>
      <c r="C42" s="2"/>
      <c r="D42" s="2">
        <v>20</v>
      </c>
      <c r="E42" s="2"/>
      <c r="F42" s="2">
        <v>10</v>
      </c>
      <c r="G42" s="2"/>
      <c r="H42" s="2">
        <v>5</v>
      </c>
      <c r="I42" s="2"/>
      <c r="J42" s="2">
        <v>1</v>
      </c>
      <c r="K42" s="2"/>
      <c r="L42" s="2">
        <v>3</v>
      </c>
      <c r="M42" s="2"/>
      <c r="N42" s="2">
        <v>4</v>
      </c>
      <c r="O42" s="2"/>
      <c r="P42" s="2"/>
    </row>
    <row r="43" spans="1:16" x14ac:dyDescent="0.3">
      <c r="A43" s="2" t="s">
        <v>159</v>
      </c>
      <c r="B43" s="2">
        <v>50</v>
      </c>
      <c r="C43" s="2"/>
      <c r="D43" s="2">
        <v>20</v>
      </c>
      <c r="E43" s="2"/>
      <c r="F43" s="2">
        <v>10</v>
      </c>
      <c r="G43" s="2"/>
      <c r="H43" s="2">
        <v>5</v>
      </c>
      <c r="I43" s="2"/>
      <c r="J43" s="2">
        <v>1</v>
      </c>
      <c r="K43" s="2"/>
      <c r="L43" s="2">
        <v>3</v>
      </c>
      <c r="M43" s="2"/>
      <c r="N43" s="2">
        <v>4</v>
      </c>
      <c r="O43" s="2"/>
      <c r="P43" s="2"/>
    </row>
    <row r="44" spans="1:16" x14ac:dyDescent="0.3">
      <c r="A44" s="2" t="s">
        <v>160</v>
      </c>
      <c r="B44" s="2">
        <v>50</v>
      </c>
      <c r="C44" s="2"/>
      <c r="D44" s="2">
        <v>20</v>
      </c>
      <c r="E44" s="2"/>
      <c r="F44" s="2">
        <v>10</v>
      </c>
      <c r="G44" s="2"/>
      <c r="H44" s="2">
        <v>5</v>
      </c>
      <c r="I44" s="2"/>
      <c r="J44" s="2">
        <v>1</v>
      </c>
      <c r="K44" s="2"/>
      <c r="L44" s="2">
        <v>3</v>
      </c>
      <c r="M44" s="2"/>
      <c r="N44" s="2">
        <v>4</v>
      </c>
      <c r="O44" s="2"/>
      <c r="P44" s="2"/>
    </row>
    <row r="45" spans="1:16" x14ac:dyDescent="0.3">
      <c r="A45" s="2" t="s">
        <v>161</v>
      </c>
      <c r="B45" s="2">
        <v>50</v>
      </c>
      <c r="C45" s="2"/>
      <c r="D45" s="2">
        <v>20</v>
      </c>
      <c r="E45" s="2"/>
      <c r="F45" s="2">
        <v>10</v>
      </c>
      <c r="G45" s="2"/>
      <c r="H45" s="2">
        <v>5</v>
      </c>
      <c r="I45" s="2"/>
      <c r="J45" s="2">
        <v>1</v>
      </c>
      <c r="K45" s="2"/>
      <c r="L45" s="2">
        <v>3</v>
      </c>
      <c r="M45" s="2"/>
      <c r="N45" s="2">
        <v>4</v>
      </c>
      <c r="O45" s="2"/>
      <c r="P45" s="2"/>
    </row>
    <row r="46" spans="1:16" x14ac:dyDescent="0.3">
      <c r="A46" s="2" t="s">
        <v>162</v>
      </c>
      <c r="B46" s="2">
        <v>50</v>
      </c>
      <c r="C46" s="2"/>
      <c r="D46" s="2">
        <v>20</v>
      </c>
      <c r="E46" s="2"/>
      <c r="F46" s="2">
        <v>10</v>
      </c>
      <c r="G46" s="2"/>
      <c r="H46" s="2">
        <v>5</v>
      </c>
      <c r="I46" s="2"/>
      <c r="J46" s="2">
        <v>1</v>
      </c>
      <c r="K46" s="2"/>
      <c r="L46" s="2">
        <v>3</v>
      </c>
      <c r="M46" s="2"/>
      <c r="N46" s="2">
        <v>4</v>
      </c>
      <c r="O46" s="2"/>
      <c r="P46" s="2"/>
    </row>
    <row r="47" spans="1:16" x14ac:dyDescent="0.3">
      <c r="A47" s="2" t="s">
        <v>163</v>
      </c>
      <c r="B47" s="2">
        <v>50</v>
      </c>
      <c r="C47" s="2"/>
      <c r="D47" s="2">
        <v>20</v>
      </c>
      <c r="E47" s="2"/>
      <c r="F47" s="2">
        <v>10</v>
      </c>
      <c r="G47" s="2"/>
      <c r="H47" s="2">
        <v>5</v>
      </c>
      <c r="I47" s="2"/>
      <c r="J47" s="2">
        <v>1</v>
      </c>
      <c r="K47" s="2"/>
      <c r="L47" s="2">
        <v>3</v>
      </c>
      <c r="M47" s="2"/>
      <c r="N47" s="2">
        <v>4</v>
      </c>
      <c r="O47" s="2"/>
      <c r="P47" s="2"/>
    </row>
    <row r="48" spans="1:16" x14ac:dyDescent="0.3">
      <c r="A48" s="2" t="s">
        <v>164</v>
      </c>
      <c r="B48" s="2">
        <v>50</v>
      </c>
      <c r="C48" s="2"/>
      <c r="D48" s="2">
        <v>20</v>
      </c>
      <c r="E48" s="2"/>
      <c r="F48" s="2">
        <v>10</v>
      </c>
      <c r="G48" s="2"/>
      <c r="H48" s="2">
        <v>5</v>
      </c>
      <c r="I48" s="2"/>
      <c r="J48" s="2">
        <v>1</v>
      </c>
      <c r="K48" s="2"/>
      <c r="L48" s="2">
        <v>3</v>
      </c>
      <c r="M48" s="2"/>
      <c r="N48" s="2">
        <v>4</v>
      </c>
      <c r="O48" s="2"/>
      <c r="P48" s="2"/>
    </row>
    <row r="49" spans="1:16" x14ac:dyDescent="0.3">
      <c r="A49" s="2" t="s">
        <v>165</v>
      </c>
      <c r="B49" s="2">
        <v>50</v>
      </c>
      <c r="C49" s="2"/>
      <c r="D49" s="2">
        <v>20</v>
      </c>
      <c r="E49" s="2"/>
      <c r="F49" s="2">
        <v>10</v>
      </c>
      <c r="G49" s="2"/>
      <c r="H49" s="2">
        <v>5</v>
      </c>
      <c r="I49" s="2"/>
      <c r="J49" s="2">
        <v>1</v>
      </c>
      <c r="K49" s="2"/>
      <c r="L49" s="2">
        <v>3</v>
      </c>
      <c r="M49" s="2"/>
      <c r="N49" s="2">
        <v>4</v>
      </c>
      <c r="O49" s="2"/>
      <c r="P49" s="2"/>
    </row>
    <row r="50" spans="1:16" x14ac:dyDescent="0.3">
      <c r="A50" s="2" t="s">
        <v>166</v>
      </c>
      <c r="B50" s="2">
        <v>50</v>
      </c>
      <c r="C50" s="2"/>
      <c r="D50" s="2">
        <v>20</v>
      </c>
      <c r="E50" s="2"/>
      <c r="F50" s="2">
        <v>10</v>
      </c>
      <c r="G50" s="2"/>
      <c r="H50" s="2">
        <v>5</v>
      </c>
      <c r="I50" s="2"/>
      <c r="J50" s="2">
        <v>1</v>
      </c>
      <c r="K50" s="2"/>
      <c r="L50" s="2">
        <v>3</v>
      </c>
      <c r="M50" s="2"/>
      <c r="N50" s="2">
        <v>4</v>
      </c>
      <c r="O50" s="2"/>
      <c r="P50" s="2"/>
    </row>
    <row r="51" spans="1:16" x14ac:dyDescent="0.3">
      <c r="A51" s="2" t="s">
        <v>167</v>
      </c>
      <c r="B51" s="2">
        <v>50</v>
      </c>
      <c r="C51" s="2"/>
      <c r="D51" s="2">
        <v>20</v>
      </c>
      <c r="E51" s="2"/>
      <c r="F51" s="2">
        <v>10</v>
      </c>
      <c r="G51" s="2"/>
      <c r="H51" s="2">
        <v>5</v>
      </c>
      <c r="I51" s="2"/>
      <c r="J51" s="2">
        <v>1</v>
      </c>
      <c r="K51" s="2"/>
      <c r="L51" s="2">
        <v>3</v>
      </c>
      <c r="M51" s="2"/>
      <c r="N51" s="2">
        <v>4</v>
      </c>
      <c r="O51" s="2"/>
      <c r="P51" s="2"/>
    </row>
    <row r="52" spans="1:16" x14ac:dyDescent="0.3">
      <c r="A52" s="2" t="s">
        <v>168</v>
      </c>
      <c r="B52" s="2">
        <v>50</v>
      </c>
      <c r="C52" s="2"/>
      <c r="D52" s="2">
        <v>20</v>
      </c>
      <c r="E52" s="2"/>
      <c r="F52" s="2">
        <v>10</v>
      </c>
      <c r="G52" s="2"/>
      <c r="H52" s="2">
        <v>5</v>
      </c>
      <c r="I52" s="2"/>
      <c r="J52" s="2">
        <v>1</v>
      </c>
      <c r="K52" s="2"/>
      <c r="L52" s="2">
        <v>3</v>
      </c>
      <c r="M52" s="2"/>
      <c r="N52" s="2">
        <v>4</v>
      </c>
      <c r="O52" s="2"/>
      <c r="P52" s="2"/>
    </row>
    <row r="53" spans="1:16" x14ac:dyDescent="0.3">
      <c r="A53" s="2" t="s">
        <v>169</v>
      </c>
      <c r="B53" s="2">
        <v>50</v>
      </c>
      <c r="C53" s="2"/>
      <c r="D53" s="2">
        <v>20</v>
      </c>
      <c r="E53" s="2"/>
      <c r="F53" s="2">
        <v>10</v>
      </c>
      <c r="G53" s="2"/>
      <c r="H53" s="2">
        <v>5</v>
      </c>
      <c r="I53" s="2"/>
      <c r="J53" s="2">
        <v>1</v>
      </c>
      <c r="K53" s="2"/>
      <c r="L53" s="2">
        <v>3</v>
      </c>
      <c r="M53" s="2"/>
      <c r="N53" s="2">
        <v>4</v>
      </c>
      <c r="O53" s="2"/>
      <c r="P53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4" width="34" customWidth="1"/>
    <col min="5" max="5" width="24" customWidth="1"/>
    <col min="6" max="6" width="28" customWidth="1"/>
    <col min="7" max="7" width="14" customWidth="1"/>
    <col min="8" max="8" width="35" customWidth="1"/>
  </cols>
  <sheetData>
    <row r="1" spans="1:8" x14ac:dyDescent="0.3">
      <c r="A1" s="1" t="s">
        <v>51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86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18" customWidth="1"/>
    <col min="5" max="5" width="24" customWidth="1"/>
    <col min="6" max="8" width="38" customWidth="1"/>
  </cols>
  <sheetData>
    <row r="1" spans="1:8" x14ac:dyDescent="0.3">
      <c r="A1" s="1" t="s">
        <v>51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5" customWidth="1"/>
    <col min="3" max="3" width="28" customWidth="1"/>
    <col min="4" max="5" width="20" customWidth="1"/>
    <col min="6" max="6" width="30" customWidth="1"/>
    <col min="7" max="7" width="16" customWidth="1"/>
    <col min="8" max="8" width="14" customWidth="1"/>
    <col min="9" max="9" width="30" customWidth="1"/>
    <col min="10" max="10" width="16" customWidth="1"/>
  </cols>
  <sheetData>
    <row r="1" spans="1:10" x14ac:dyDescent="0.3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93</v>
      </c>
      <c r="H1" s="1" t="s">
        <v>3</v>
      </c>
      <c r="I1" s="1" t="s">
        <v>189</v>
      </c>
      <c r="J1" s="1" t="s">
        <v>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2" customWidth="1"/>
    <col min="4" max="4" width="28" customWidth="1"/>
    <col min="5" max="5" width="24" customWidth="1"/>
    <col min="6" max="6" width="16" customWidth="1"/>
    <col min="7" max="7" width="14" customWidth="1"/>
    <col min="8" max="8" width="35" customWidth="1"/>
  </cols>
  <sheetData>
    <row r="1" spans="1:8" x14ac:dyDescent="0.3">
      <c r="A1" s="1" t="s">
        <v>51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86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Personal Savings</vt:lpstr>
      <vt:lpstr>Haymani Profit</vt:lpstr>
      <vt:lpstr>Sales Pipeline</vt:lpstr>
      <vt:lpstr>Quotation Tracker</vt:lpstr>
      <vt:lpstr>Project Profitability</vt:lpstr>
      <vt:lpstr>Receivables</vt:lpstr>
      <vt:lpstr>Expenses</vt:lpstr>
      <vt:lpstr>Production Board</vt:lpstr>
      <vt:lpstr>Content Tracker</vt:lpstr>
      <vt:lpstr>Weekly Scorecard</vt:lpstr>
      <vt:lpstr>Daily Top 3</vt:lpstr>
      <vt:lpstr>Skill Development</vt:lpstr>
      <vt:lpstr>People &amp; Delegation</vt:lpstr>
      <vt:lpstr>Body &amp; Fitness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samuelkassahun40@gmail.com</cp:lastModifiedBy>
  <dcterms:created xsi:type="dcterms:W3CDTF">2026-09-29T19:47:53Z</dcterms:created>
  <dcterms:modified xsi:type="dcterms:W3CDTF">2026-10-04T19:20:07Z</dcterms:modified>
</cp:coreProperties>
</file>